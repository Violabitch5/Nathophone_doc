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Documents\Studium\Juventus\Diplomarbeit\Nathophone_doc\Bestellungen\"/>
    </mc:Choice>
  </mc:AlternateContent>
  <xr:revisionPtr revIDLastSave="0" documentId="13_ncr:1_{CE77B996-8B08-44BD-8D0B-88C7FD4A8AF2}" xr6:coauthVersionLast="47" xr6:coauthVersionMax="47" xr10:uidLastSave="{00000000-0000-0000-0000-000000000000}"/>
  <bookViews>
    <workbookView xWindow="-108" yWindow="-108" windowWidth="23256" windowHeight="12456" xr2:uid="{AE49AA79-78EE-49BB-8624-13109E5D639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14" i="1"/>
  <c r="C11" i="1"/>
  <c r="C10" i="1"/>
  <c r="C8" i="1"/>
  <c r="C13" i="1" l="1"/>
  <c r="C15" i="1" s="1"/>
</calcChain>
</file>

<file path=xl/sharedStrings.xml><?xml version="1.0" encoding="utf-8"?>
<sst xmlns="http://schemas.openxmlformats.org/spreadsheetml/2006/main" count="15" uniqueCount="15">
  <si>
    <t>What</t>
  </si>
  <si>
    <t>Costs Nathophone</t>
  </si>
  <si>
    <t>Costs (EUR)</t>
  </si>
  <si>
    <t>Costs (CHF)</t>
  </si>
  <si>
    <t>EURtoCHF</t>
  </si>
  <si>
    <t>Oecoplan MDF 8mm</t>
  </si>
  <si>
    <t>Assembled PCB</t>
  </si>
  <si>
    <t>Shipping Fee PCB</t>
  </si>
  <si>
    <t>Exciters</t>
  </si>
  <si>
    <t>MILANtoTDM Module</t>
  </si>
  <si>
    <t>Shipping Fee Joyned</t>
  </si>
  <si>
    <t>Total</t>
  </si>
  <si>
    <t>USBtoMILAN Interface</t>
  </si>
  <si>
    <t>Zuschnitt Fablab</t>
  </si>
  <si>
    <t>PMMA Zuschnitte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</si>
</sst>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CHF]\ #,##0.00"/>
  </numFmts>
  <fonts count="2" x14ac:knownFonts="1">
    <font>
      <sz val="12"/>
      <color theme="1"/>
      <name val="Microsoft YaHei UI"/>
      <family val="2"/>
    </font>
    <font>
      <b/>
      <sz val="12"/>
      <color theme="1"/>
      <name val="Microsoft YaHei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6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C734-9525-4231-AFC1-23106E6ABE12}">
  <dimension ref="A1:D15"/>
  <sheetViews>
    <sheetView tabSelected="1" workbookViewId="0">
      <selection activeCell="D11" sqref="D11"/>
    </sheetView>
  </sheetViews>
  <sheetFormatPr baseColWidth="10" defaultRowHeight="17.399999999999999" x14ac:dyDescent="0.4"/>
  <cols>
    <col min="1" max="1" width="17.4140625" bestFit="1" customWidth="1"/>
    <col min="3" max="3" width="11.33203125" bestFit="1" customWidth="1"/>
  </cols>
  <sheetData>
    <row r="1" spans="1:4" x14ac:dyDescent="0.4">
      <c r="A1" t="s">
        <v>1</v>
      </c>
      <c r="C1" t="s">
        <v>4</v>
      </c>
      <c r="D1">
        <v>0.93095000000000006</v>
      </c>
    </row>
    <row r="4" spans="1:4" x14ac:dyDescent="0.4">
      <c r="A4" t="s">
        <v>0</v>
      </c>
      <c r="B4" t="s">
        <v>2</v>
      </c>
      <c r="C4" t="s">
        <v>3</v>
      </c>
    </row>
    <row r="5" spans="1:4" x14ac:dyDescent="0.4">
      <c r="A5" t="s">
        <v>5</v>
      </c>
      <c r="C5" s="2">
        <v>101.35</v>
      </c>
    </row>
    <row r="6" spans="1:4" x14ac:dyDescent="0.4">
      <c r="A6" t="s">
        <v>13</v>
      </c>
      <c r="C6" s="2">
        <f>5+30+40+40+25</f>
        <v>140</v>
      </c>
    </row>
    <row r="7" spans="1:4" x14ac:dyDescent="0.4">
      <c r="A7" t="s">
        <v>14</v>
      </c>
      <c r="C7" s="2">
        <v>63.5</v>
      </c>
    </row>
    <row r="8" spans="1:4" x14ac:dyDescent="0.4">
      <c r="A8" s="1" t="s">
        <v>6</v>
      </c>
      <c r="B8">
        <v>522.35</v>
      </c>
      <c r="C8" s="2">
        <f>B8*$D$1</f>
        <v>486.28173250000003</v>
      </c>
    </row>
    <row r="9" spans="1:4" x14ac:dyDescent="0.4">
      <c r="A9" t="s">
        <v>7</v>
      </c>
      <c r="C9" s="2">
        <v>66.900000000000006</v>
      </c>
    </row>
    <row r="10" spans="1:4" x14ac:dyDescent="0.4">
      <c r="A10" t="s">
        <v>8</v>
      </c>
      <c r="B10">
        <v>87.21</v>
      </c>
      <c r="C10" s="2">
        <f>B10*$D$1</f>
        <v>81.188149499999994</v>
      </c>
    </row>
    <row r="11" spans="1:4" x14ac:dyDescent="0.4">
      <c r="A11" t="s">
        <v>9</v>
      </c>
      <c r="B11">
        <v>183.33</v>
      </c>
      <c r="C11" s="2">
        <f>B11*$D$1</f>
        <v>170.67106350000003</v>
      </c>
    </row>
    <row r="12" spans="1:4" x14ac:dyDescent="0.4">
      <c r="A12" t="s">
        <v>10</v>
      </c>
      <c r="C12" s="2">
        <v>62.2</v>
      </c>
    </row>
    <row r="13" spans="1:4" x14ac:dyDescent="0.4">
      <c r="A13" s="3" t="s">
        <v>11</v>
      </c>
      <c r="C13" s="2">
        <f>SUM(C5:C12)</f>
        <v>1172.0909455000001</v>
      </c>
    </row>
    <row r="14" spans="1:4" x14ac:dyDescent="0.4">
      <c r="A14" t="s">
        <v>12</v>
      </c>
      <c r="B14">
        <v>416.66</v>
      </c>
      <c r="C14" s="2">
        <f>B14*$D$1</f>
        <v>387.88962700000002</v>
      </c>
    </row>
    <row r="15" spans="1:4" x14ac:dyDescent="0.4">
      <c r="C15" s="2">
        <f>SUM(C13:C14)</f>
        <v>1559.9805725000001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Gubler</dc:creator>
  <cp:lastModifiedBy>Nathanael Gubler</cp:lastModifiedBy>
  <dcterms:created xsi:type="dcterms:W3CDTF">2026-01-19T17:10:06Z</dcterms:created>
  <dcterms:modified xsi:type="dcterms:W3CDTF">2026-01-19T17:27:24Z</dcterms:modified>
</cp:coreProperties>
</file>